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120" activeTab="1"/>
  </bookViews>
  <sheets>
    <sheet name="The Team" sheetId="1" r:id="rId1"/>
    <sheet name="Week 1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<sst xmlns="http://schemas.openxmlformats.org/spreadsheetml/2006/main" count="110" uniqueCount="62">
  <si>
    <t>Group</t>
  </si>
  <si>
    <t>Engineer Name</t>
  </si>
  <si>
    <t>Grade</t>
  </si>
  <si>
    <t>Total Bonus</t>
  </si>
  <si>
    <t>Total Grade</t>
  </si>
  <si>
    <t>روان عبدالحميد محمد</t>
  </si>
  <si>
    <t>دعاء محمد عبدالحميد</t>
  </si>
  <si>
    <t>شهد عبدالنبي عواد</t>
  </si>
  <si>
    <t>فارس شريف طه</t>
  </si>
  <si>
    <t>فهد شريف طه</t>
  </si>
  <si>
    <t>احمد حمادة سيد</t>
  </si>
  <si>
    <t>محمد حسين رمضان</t>
  </si>
  <si>
    <t>انس سيد علي علي</t>
  </si>
  <si>
    <t>هبه رمضان حميدة</t>
  </si>
  <si>
    <t>مها خالد شتيل</t>
  </si>
  <si>
    <t>حسن علي حسن</t>
  </si>
  <si>
    <t>احمد ربيع محمد</t>
  </si>
  <si>
    <t>روان جمال حلمي</t>
  </si>
  <si>
    <t>شيماء عاطف محمد</t>
  </si>
  <si>
    <t>منةالله نصر احمد</t>
  </si>
  <si>
    <t>جهاد مجدي حسني</t>
  </si>
  <si>
    <t>هدير اسامة سيد</t>
  </si>
  <si>
    <t>مريم احمد عصمت</t>
  </si>
  <si>
    <t>معاذ رجب كامل</t>
  </si>
  <si>
    <t>عبدالرحمن احمد عبدالرحمن</t>
  </si>
  <si>
    <t>احمد كامل سيد</t>
  </si>
  <si>
    <t>احمد عرفات ممدوح</t>
  </si>
  <si>
    <t>ايريني حبيب زكريا</t>
  </si>
  <si>
    <t>Assignment 1</t>
  </si>
  <si>
    <t>Assignment 2</t>
  </si>
  <si>
    <t>Repo Link</t>
  </si>
  <si>
    <t>Bonus</t>
  </si>
  <si>
    <t>Ali Yasser Ali Soltan (TL)</t>
  </si>
  <si>
    <t>Done</t>
  </si>
  <si>
    <t>Nour Eldin Ahmed</t>
  </si>
  <si>
    <t>Farida Gamal Mohamed Saad Elgharbawy</t>
  </si>
  <si>
    <t>Yara Alaa Hossam</t>
  </si>
  <si>
    <t>late</t>
  </si>
  <si>
    <t>not done</t>
  </si>
  <si>
    <t>Youssef Tarek Ismail Hefny</t>
  </si>
  <si>
    <t>Yosef Ahmed Shaban (TL)</t>
  </si>
  <si>
    <t>Salma Abdelsamei Ahmed</t>
  </si>
  <si>
    <t>Late</t>
  </si>
  <si>
    <t>Not Done</t>
  </si>
  <si>
    <t>Abdelrahman Ahmed Kamal Kamel'</t>
  </si>
  <si>
    <t>Mohab Islam Ahmed Mohamed</t>
  </si>
  <si>
    <t>SalahEldin Tarek Salah Mohamed</t>
  </si>
  <si>
    <t>Muhammad Walid Hussein Abdelzaher (TL)</t>
  </si>
  <si>
    <t>Ahmed Wael Mohamed Abuelwafa</t>
  </si>
  <si>
    <t>Beshoy Bassem Banoub Bekhit</t>
  </si>
  <si>
    <t>Hazem Amr Mohamed Ibrahim</t>
  </si>
  <si>
    <t>Hossam Eldin Omar Mohamed Sayed</t>
  </si>
  <si>
    <t>Mina nabil fahim nessim (TL)</t>
  </si>
  <si>
    <t>Ahmed Salah Mostafa Mohamed</t>
  </si>
  <si>
    <t xml:space="preserve">Marwan Nasser El-Sayed Hassan </t>
  </si>
  <si>
    <t>Mazen Yehia Zaki Yousef</t>
  </si>
  <si>
    <t>Mohamed Hamada Hassan Mahmoud</t>
  </si>
  <si>
    <t>Ahmed Adel Ahmed (TL)</t>
  </si>
  <si>
    <t>Mohamed Ahmed Mohamed Abbas</t>
  </si>
  <si>
    <t>Amr Khaled Mostafa Hussein</t>
  </si>
  <si>
    <t>Mohamed Ashraf Mostafa Sarhan</t>
  </si>
  <si>
    <t>Noureldin Ashraf Taher Awad Mohamed Elhadidi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</si>
</sst>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1"/>
      <color theme="1"/>
      <name val="Aptos Narrow"/>
      <charset val="134"/>
      <scheme val="minor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2"/>
      <color rgb="FF00B050"/>
      <name val="Times New Roman"/>
      <charset val="134"/>
    </font>
    <font>
      <sz val="12"/>
      <color rgb="FF202124"/>
      <name val="Times New Roman"/>
      <charset val="134"/>
    </font>
    <font>
      <sz val="12"/>
      <color rgb="FF00B050"/>
      <name val="Times New Roman"/>
      <charset val="134"/>
    </font>
    <font>
      <sz val="14"/>
      <color theme="1"/>
      <name val="Aptos Display"/>
      <charset val="134"/>
      <scheme val="major"/>
    </font>
    <font>
      <sz val="12"/>
      <color theme="1"/>
      <name val="Arial"/>
      <charset val="134"/>
    </font>
    <font>
      <sz val="12"/>
      <color rgb="FF000000"/>
      <name val="Arial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6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9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0" borderId="1" xfId="0" applyFont="1" applyBorder="1"/>
    <xf numFmtId="0" fontId="7" fillId="0" borderId="1" xfId="0" applyFont="1" applyBorder="1" applyAlignment="1">
      <alignment horizontal="center" vertical="center"/>
    </xf>
    <xf numFmtId="0" fontId="6" fillId="0" borderId="2" xfId="0" applyFont="1" applyBorder="1"/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6" fillId="0" borderId="0" xfId="0" applyFont="1"/>
    <xf numFmtId="0" fontId="7" fillId="4" borderId="0" xfId="0" applyFont="1" applyFill="1" applyAlignment="1">
      <alignment horizontal="center" vertical="center"/>
    </xf>
    <xf numFmtId="0" fontId="8" fillId="0" borderId="1" xfId="0" applyFont="1" applyBorder="1" applyAlignment="1">
      <alignment horizontal="center" vertical="center" readingOrder="2"/>
    </xf>
    <xf numFmtId="0" fontId="8" fillId="0" borderId="2" xfId="0" applyFont="1" applyBorder="1" applyAlignment="1">
      <alignment horizontal="center" vertical="center" readingOrder="2"/>
    </xf>
    <xf numFmtId="0" fontId="8" fillId="0" borderId="3" xfId="0" applyFont="1" applyBorder="1" applyAlignment="1">
      <alignment horizontal="center" vertical="center" readingOrder="2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">
    <dxf>
      <font>
        <b val="1"/>
        <i val="0"/>
        <color rgb="FF00B050"/>
      </font>
    </dxf>
    <dxf>
      <fill>
        <patternFill patternType="solid">
          <bgColor rgb="FFFFE69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C6E0B4"/>
        </patternFill>
      </fill>
    </dxf>
  </dxfs>
  <tableStyles count="0" defaultTableStyle="TableStyleMedium2" defaultPivotStyle="PivotStyleLight16"/>
  <colors>
    <mruColors>
      <color rgb="00FFF2CC"/>
      <color rgb="00FFE699"/>
      <color rgb="00F4CCCC"/>
      <color rgb="00C6E0B4"/>
      <color rgb="00FC3636"/>
      <color rgb="00F2F2F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5:P37"/>
  <sheetViews>
    <sheetView topLeftCell="A2" workbookViewId="0">
      <selection activeCell="K18" sqref="K18"/>
    </sheetView>
  </sheetViews>
  <sheetFormatPr defaultColWidth="9" defaultRowHeight="15.6"/>
  <cols>
    <col min="1" max="3" width="8.88888888888889" style="1"/>
    <col min="4" max="4" width="7" style="1" customWidth="1"/>
    <col min="5" max="5" width="46.2222222222222" style="1" customWidth="1"/>
    <col min="6" max="6" width="7" style="1" customWidth="1"/>
    <col min="7" max="7" width="12.2222222222222" style="1" customWidth="1"/>
    <col min="8" max="8" width="11.6666666666667" style="1" customWidth="1"/>
    <col min="9" max="9" width="12.5555555555556" style="1" customWidth="1"/>
    <col min="10" max="16384" width="8.88888888888889" style="1"/>
  </cols>
  <sheetData>
    <row r="5" ht="17.4" spans="4:16">
      <c r="D5" s="5" t="s">
        <v>0</v>
      </c>
      <c r="E5" s="5" t="s">
        <v>1</v>
      </c>
      <c r="F5" s="5" t="s">
        <v>2</v>
      </c>
      <c r="G5" s="7" t="s">
        <v>3</v>
      </c>
      <c r="H5" s="3"/>
      <c r="I5" s="5" t="s">
        <v>4</v>
      </c>
      <c r="P5" s="14"/>
    </row>
    <row r="6" ht="17.4" spans="4:16">
      <c r="D6" s="8">
        <v>1</v>
      </c>
      <c r="E6" s="15" t="s">
        <v>5</v>
      </c>
      <c r="F6" s="1">
        <v>0</v>
      </c>
      <c r="G6" s="1">
        <v>1</v>
      </c>
      <c r="I6" s="1">
        <f>F6+G6</f>
        <v>1</v>
      </c>
      <c r="P6" s="16"/>
    </row>
    <row r="7" ht="17.4" spans="4:16">
      <c r="D7" s="8"/>
      <c r="E7" s="17" t="s">
        <v>6</v>
      </c>
      <c r="F7" s="1">
        <v>0</v>
      </c>
      <c r="G7" s="1">
        <v>1</v>
      </c>
      <c r="I7" s="1">
        <f t="shared" ref="I7:I31" si="0">F7+G7</f>
        <v>1</v>
      </c>
      <c r="P7" s="16"/>
    </row>
    <row r="8" ht="17.4" spans="4:16">
      <c r="D8" s="8"/>
      <c r="E8" s="17" t="s">
        <v>7</v>
      </c>
      <c r="F8" s="1">
        <v>0</v>
      </c>
      <c r="G8" s="1">
        <v>1</v>
      </c>
      <c r="I8" s="1">
        <f t="shared" si="0"/>
        <v>1</v>
      </c>
      <c r="P8" s="16"/>
    </row>
    <row r="9" ht="17.4" spans="4:16">
      <c r="D9" s="8"/>
      <c r="E9" s="17" t="s">
        <v>8</v>
      </c>
      <c r="F9" s="1">
        <v>0</v>
      </c>
      <c r="G9" s="1">
        <v>1</v>
      </c>
      <c r="I9" s="1">
        <f t="shared" si="0"/>
        <v>1</v>
      </c>
      <c r="P9" s="16"/>
    </row>
    <row r="10" ht="17.4" spans="4:16">
      <c r="D10" s="8"/>
      <c r="E10" s="17" t="s">
        <v>9</v>
      </c>
      <c r="F10" s="1">
        <v>0</v>
      </c>
      <c r="G10" s="1">
        <v>1</v>
      </c>
      <c r="I10" s="1">
        <f t="shared" si="0"/>
        <v>1</v>
      </c>
      <c r="P10" s="16"/>
    </row>
    <row r="11" ht="17.4" spans="4:16">
      <c r="D11" s="8"/>
      <c r="E11" s="18" t="s">
        <v>10</v>
      </c>
      <c r="F11" s="1">
        <v>0</v>
      </c>
      <c r="G11" s="1">
        <v>1</v>
      </c>
      <c r="I11" s="1">
        <f t="shared" si="0"/>
        <v>1</v>
      </c>
      <c r="P11" s="19"/>
    </row>
    <row r="12" spans="4:16">
      <c r="D12" s="12"/>
      <c r="E12" s="20"/>
      <c r="F12" s="12"/>
      <c r="G12" s="12"/>
      <c r="I12" s="12"/>
    </row>
    <row r="13" spans="4:16">
      <c r="D13" s="8">
        <v>2</v>
      </c>
      <c r="E13" s="15" t="s">
        <v>11</v>
      </c>
      <c r="F13" s="1">
        <v>0</v>
      </c>
      <c r="G13" s="1">
        <v>1</v>
      </c>
      <c r="I13" s="1">
        <f t="shared" si="0"/>
        <v>1</v>
      </c>
    </row>
    <row r="14" spans="4:16">
      <c r="D14" s="8"/>
      <c r="E14" s="17" t="s">
        <v>12</v>
      </c>
      <c r="F14" s="1">
        <v>0</v>
      </c>
      <c r="G14" s="1">
        <v>1</v>
      </c>
      <c r="I14" s="1">
        <f t="shared" si="0"/>
        <v>1</v>
      </c>
    </row>
    <row r="15" spans="4:16">
      <c r="D15" s="8"/>
      <c r="E15" s="17" t="s">
        <v>13</v>
      </c>
      <c r="F15" s="1">
        <v>0</v>
      </c>
      <c r="G15" s="1">
        <v>2</v>
      </c>
      <c r="I15" s="1">
        <f t="shared" si="0"/>
        <v>2</v>
      </c>
    </row>
    <row r="16" spans="4:16">
      <c r="D16" s="8"/>
      <c r="E16" s="17" t="s">
        <v>14</v>
      </c>
      <c r="F16" s="1">
        <v>0</v>
      </c>
      <c r="G16" s="1">
        <v>1</v>
      </c>
      <c r="I16" s="1">
        <f t="shared" si="0"/>
        <v>1</v>
      </c>
    </row>
    <row r="17" spans="4:9">
      <c r="D17" s="8"/>
      <c r="E17" s="17" t="s">
        <v>15</v>
      </c>
      <c r="F17" s="1">
        <v>0</v>
      </c>
      <c r="G17" s="1">
        <v>1</v>
      </c>
      <c r="I17" s="1">
        <f t="shared" si="0"/>
        <v>1</v>
      </c>
    </row>
    <row r="18" spans="4:9">
      <c r="D18" s="8"/>
      <c r="E18" s="18" t="s">
        <v>16</v>
      </c>
      <c r="F18" s="1">
        <v>0</v>
      </c>
      <c r="G18" s="1">
        <v>1</v>
      </c>
      <c r="I18" s="1">
        <f t="shared" si="0"/>
        <v>1</v>
      </c>
    </row>
    <row r="19" spans="4:9">
      <c r="D19" s="12"/>
      <c r="E19" s="20"/>
      <c r="F19" s="12"/>
      <c r="G19" s="12"/>
      <c r="I19" s="12"/>
    </row>
    <row r="20" spans="4:9">
      <c r="D20" s="8">
        <v>3</v>
      </c>
      <c r="E20" s="21" t="s">
        <v>17</v>
      </c>
      <c r="F20" s="1">
        <v>0</v>
      </c>
      <c r="G20" s="1">
        <v>1</v>
      </c>
      <c r="I20" s="1">
        <f t="shared" si="0"/>
        <v>1</v>
      </c>
    </row>
    <row r="21" spans="4:9">
      <c r="D21" s="8"/>
      <c r="E21" s="22" t="s">
        <v>18</v>
      </c>
      <c r="F21" s="1">
        <v>0</v>
      </c>
      <c r="G21" s="1">
        <v>1</v>
      </c>
      <c r="I21" s="1">
        <f t="shared" si="0"/>
        <v>1</v>
      </c>
    </row>
    <row r="22" spans="4:9">
      <c r="D22" s="8"/>
      <c r="E22" s="22" t="s">
        <v>19</v>
      </c>
      <c r="F22" s="1">
        <v>0</v>
      </c>
      <c r="G22" s="1">
        <v>1.5</v>
      </c>
      <c r="I22" s="1">
        <f t="shared" si="0"/>
        <v>1.5</v>
      </c>
    </row>
    <row r="23" spans="4:9">
      <c r="D23" s="8"/>
      <c r="E23" s="22" t="s">
        <v>20</v>
      </c>
      <c r="F23" s="1">
        <v>0</v>
      </c>
      <c r="G23" s="1">
        <v>1</v>
      </c>
      <c r="I23" s="1">
        <f t="shared" si="0"/>
        <v>1</v>
      </c>
    </row>
    <row r="24" spans="4:9">
      <c r="D24" s="8"/>
      <c r="E24" s="22" t="s">
        <v>21</v>
      </c>
      <c r="F24" s="1">
        <v>0</v>
      </c>
      <c r="G24" s="1">
        <v>1</v>
      </c>
      <c r="I24" s="1">
        <f t="shared" si="0"/>
        <v>1</v>
      </c>
    </row>
    <row r="25" spans="4:9">
      <c r="D25" s="8"/>
      <c r="E25" s="23" t="s">
        <v>22</v>
      </c>
      <c r="F25" s="1">
        <v>0</v>
      </c>
      <c r="G25" s="1">
        <v>1</v>
      </c>
      <c r="I25" s="1">
        <f t="shared" si="0"/>
        <v>1</v>
      </c>
    </row>
    <row r="26" spans="4:9">
      <c r="D26" s="12"/>
      <c r="E26" s="20"/>
      <c r="F26" s="12"/>
      <c r="G26" s="12"/>
      <c r="I26" s="12"/>
    </row>
    <row r="27" spans="4:9">
      <c r="D27" s="8">
        <v>4</v>
      </c>
      <c r="E27" s="21" t="s">
        <v>23</v>
      </c>
      <c r="F27" s="1">
        <v>0</v>
      </c>
      <c r="G27" s="1">
        <v>1</v>
      </c>
      <c r="I27" s="1">
        <f t="shared" si="0"/>
        <v>1</v>
      </c>
    </row>
    <row r="28" spans="4:9">
      <c r="D28" s="8"/>
      <c r="E28" s="22" t="s">
        <v>24</v>
      </c>
      <c r="F28" s="1">
        <v>0</v>
      </c>
      <c r="G28" s="1">
        <v>1</v>
      </c>
      <c r="I28" s="1">
        <f t="shared" si="0"/>
        <v>1</v>
      </c>
    </row>
    <row r="29" spans="4:9">
      <c r="D29" s="8"/>
      <c r="E29" s="22" t="s">
        <v>25</v>
      </c>
      <c r="F29" s="1">
        <v>0</v>
      </c>
      <c r="G29" s="1">
        <v>1</v>
      </c>
      <c r="I29" s="1">
        <f t="shared" si="0"/>
        <v>1</v>
      </c>
    </row>
    <row r="30" spans="4:9">
      <c r="D30" s="8"/>
      <c r="E30" s="22" t="s">
        <v>26</v>
      </c>
      <c r="F30" s="1">
        <v>0</v>
      </c>
      <c r="G30" s="1">
        <v>1</v>
      </c>
      <c r="I30" s="1">
        <f t="shared" si="0"/>
        <v>1</v>
      </c>
    </row>
    <row r="31" spans="4:9">
      <c r="D31" s="8"/>
      <c r="E31" s="23" t="s">
        <v>27</v>
      </c>
      <c r="F31" s="1">
        <v>0</v>
      </c>
      <c r="G31" s="1">
        <v>1</v>
      </c>
      <c r="I31" s="1">
        <f t="shared" si="0"/>
        <v>1</v>
      </c>
    </row>
    <row r="32" spans="4:9">
      <c r="D32" s="12"/>
      <c r="E32" s="12"/>
      <c r="F32" s="12"/>
      <c r="G32" s="12"/>
      <c r="I32" s="12"/>
    </row>
    <row r="33" spans="4:5">
      <c r="D33" s="8"/>
      <c r="E33" s="9"/>
    </row>
    <row r="34" spans="4:5">
      <c r="D34" s="8"/>
    </row>
    <row r="35" spans="4:5">
      <c r="D35" s="8"/>
    </row>
    <row r="36" spans="4:5">
      <c r="D36" s="8"/>
      <c r="E36" s="9"/>
    </row>
    <row r="37" spans="4:5">
      <c r="D37" s="8"/>
    </row>
  </sheetData>
  <sortState ref="E35:E37">
    <sortCondition ref="E34:E37"/>
  </sortState>
  <mergeCells count="5">
    <mergeCell ref="D6:D10"/>
    <mergeCell ref="D13:D17"/>
    <mergeCell ref="D20:D24"/>
    <mergeCell ref="D27:D31"/>
    <mergeCell ref="D33:D37"/>
  </mergeCells>
  <conditionalFormatting sqref="G6:G37"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J34"/>
  <sheetViews>
    <sheetView tabSelected="1" topLeftCell="B1" workbookViewId="0">
      <selection activeCell="M11" sqref="M11"/>
    </sheetView>
  </sheetViews>
  <sheetFormatPr defaultColWidth="9" defaultRowHeight="15.6"/>
  <cols>
    <col min="1" max="2" width="8.88888888888889" style="1"/>
    <col min="3" max="3" width="7" style="1" customWidth="1"/>
    <col min="4" max="4" width="46.2222222222222" style="1" customWidth="1"/>
    <col min="5" max="5" width="13.5555555555556" style="1" customWidth="1"/>
    <col min="6" max="6" width="3.33333333333333" style="2" customWidth="1"/>
    <col min="7" max="7" width="13.5555555555556" style="1" customWidth="1"/>
    <col min="8" max="8" width="10.7777777777778" style="1" customWidth="1"/>
    <col min="9" max="9" width="7" style="1" customWidth="1"/>
    <col min="10" max="10" width="6.66666666666667" style="3" customWidth="1"/>
    <col min="11" max="15" width="8.88888888888889" style="1"/>
    <col min="16" max="16" width="9.44444444444444" style="1" customWidth="1"/>
    <col min="17" max="16384" width="8.88888888888889" style="1"/>
  </cols>
  <sheetData>
    <row r="1" spans="3:10">
      <c r="F1" s="4"/>
    </row>
    <row r="2" spans="3:10">
      <c r="F2" s="4"/>
    </row>
    <row r="3" spans="3:10">
      <c r="F3" s="4"/>
    </row>
    <row r="4" spans="3:10">
      <c r="F4" s="4"/>
    </row>
    <row r="5" spans="3:10">
      <c r="C5" s="5" t="s">
        <v>0</v>
      </c>
      <c r="D5" s="5" t="s">
        <v>1</v>
      </c>
      <c r="E5" s="5" t="s">
        <v>28</v>
      </c>
      <c r="F5" s="6"/>
      <c r="G5" s="5" t="s">
        <v>29</v>
      </c>
      <c r="H5" s="5" t="s">
        <v>30</v>
      </c>
      <c r="I5" s="5" t="s">
        <v>2</v>
      </c>
      <c r="J5" s="7" t="s">
        <v>31</v>
      </c>
    </row>
    <row r="6" spans="3:10">
      <c r="C6" s="8">
        <v>1</v>
      </c>
      <c r="D6" s="9" t="s">
        <v>32</v>
      </c>
      <c r="E6" s="9" t="s">
        <v>33</v>
      </c>
      <c r="F6" s="10"/>
      <c r="G6" s="9" t="s">
        <v>33</v>
      </c>
      <c r="I6" s="1">
        <f>IF(AND(E6="Done",G6="Done"),2,IF(AND(E6="Not Done",G6="Not Done"),0,1))</f>
        <v>2</v>
      </c>
      <c r="J6" s="11"/>
    </row>
    <row r="7" spans="3:10">
      <c r="C7" s="8"/>
      <c r="D7" s="9" t="s">
        <v>34</v>
      </c>
      <c r="E7" s="9" t="s">
        <v>33</v>
      </c>
      <c r="F7" s="10"/>
      <c r="G7" s="9" t="s">
        <v>33</v>
      </c>
      <c r="I7" s="1">
        <f t="shared" ref="I7:I34" si="0">IF(AND(E7="Done",G7="Done"),2,IF(AND(E7="Not Done",G7="Not Done"),0,1))</f>
        <v>2</v>
      </c>
      <c r="J7" s="11"/>
    </row>
    <row r="8" spans="3:10">
      <c r="C8" s="8"/>
      <c r="D8" s="1" t="s">
        <v>35</v>
      </c>
      <c r="E8" s="9" t="s">
        <v>33</v>
      </c>
      <c r="F8" s="10"/>
      <c r="G8" s="9" t="s">
        <v>33</v>
      </c>
      <c r="I8" s="1">
        <f t="shared" si="0"/>
        <v>2</v>
      </c>
      <c r="J8" s="11"/>
    </row>
    <row r="9" spans="3:10">
      <c r="C9" s="8"/>
      <c r="D9" s="1" t="s">
        <v>36</v>
      </c>
      <c r="E9" s="9" t="s">
        <v>37</v>
      </c>
      <c r="F9" s="10"/>
      <c r="G9" s="9" t="s">
        <v>38</v>
      </c>
      <c r="I9" s="1">
        <f t="shared" si="0"/>
        <v>1</v>
      </c>
      <c r="J9" s="11"/>
    </row>
    <row r="10" spans="3:10">
      <c r="C10" s="8"/>
      <c r="D10" s="1" t="s">
        <v>39</v>
      </c>
      <c r="E10" s="9" t="s">
        <v>38</v>
      </c>
      <c r="F10" s="10"/>
      <c r="G10" s="9" t="s">
        <v>38</v>
      </c>
      <c r="I10" s="1">
        <f t="shared" si="0"/>
        <v>0</v>
      </c>
      <c r="J10" s="11"/>
    </row>
    <row r="11" spans="3:10">
      <c r="C11" s="12"/>
      <c r="D11" s="12"/>
      <c r="E11" s="12"/>
      <c r="F11" s="2"/>
      <c r="G11" s="12"/>
      <c r="H11" s="12"/>
      <c r="I11" s="12"/>
      <c r="J11" s="13"/>
    </row>
    <row r="12" spans="3:10">
      <c r="C12" s="8">
        <v>2</v>
      </c>
      <c r="D12" s="1" t="s">
        <v>40</v>
      </c>
      <c r="E12" s="9" t="s">
        <v>33</v>
      </c>
      <c r="F12" s="10"/>
      <c r="G12" s="9" t="s">
        <v>33</v>
      </c>
      <c r="I12" s="1">
        <f t="shared" si="0"/>
        <v>2</v>
      </c>
      <c r="J12" s="11"/>
    </row>
    <row r="13" spans="3:10">
      <c r="C13" s="8"/>
      <c r="D13" s="9" t="s">
        <v>41</v>
      </c>
      <c r="E13" s="9" t="s">
        <v>42</v>
      </c>
      <c r="F13" s="10"/>
      <c r="G13" s="9" t="s">
        <v>43</v>
      </c>
      <c r="I13" s="1">
        <f t="shared" si="0"/>
        <v>1</v>
      </c>
      <c r="J13" s="11"/>
    </row>
    <row r="14" spans="3:10">
      <c r="C14" s="8"/>
      <c r="D14" s="1" t="s">
        <v>44</v>
      </c>
      <c r="E14" s="9" t="s">
        <v>43</v>
      </c>
      <c r="F14" s="10"/>
      <c r="G14" s="9" t="s">
        <v>43</v>
      </c>
      <c r="I14" s="1">
        <f t="shared" si="0"/>
        <v>0</v>
      </c>
      <c r="J14" s="11"/>
    </row>
    <row r="15" spans="3:10">
      <c r="C15" s="8"/>
      <c r="D15" s="1" t="s">
        <v>45</v>
      </c>
      <c r="E15" s="9" t="s">
        <v>37</v>
      </c>
      <c r="F15" s="10"/>
      <c r="G15" s="9" t="s">
        <v>33</v>
      </c>
      <c r="I15" s="1">
        <f t="shared" si="0"/>
        <v>1</v>
      </c>
      <c r="J15" s="11"/>
    </row>
    <row r="16" spans="3:10">
      <c r="C16" s="8"/>
      <c r="D16" s="1" t="s">
        <v>46</v>
      </c>
      <c r="E16" s="9" t="s">
        <v>33</v>
      </c>
      <c r="F16" s="10"/>
      <c r="G16" s="9" t="s">
        <v>33</v>
      </c>
      <c r="I16" s="1">
        <f t="shared" si="0"/>
        <v>2</v>
      </c>
      <c r="J16" s="11"/>
    </row>
    <row r="17" spans="3:10">
      <c r="C17" s="12"/>
      <c r="D17" s="12"/>
      <c r="E17" s="12"/>
      <c r="F17" s="2"/>
      <c r="G17" s="12"/>
      <c r="H17" s="12"/>
      <c r="I17" s="12"/>
      <c r="J17" s="13"/>
    </row>
    <row r="18" spans="3:10">
      <c r="C18" s="8">
        <v>3</v>
      </c>
      <c r="D18" s="1" t="s">
        <v>47</v>
      </c>
      <c r="E18" s="9" t="s">
        <v>33</v>
      </c>
      <c r="F18" s="10"/>
      <c r="G18" s="9" t="s">
        <v>33</v>
      </c>
      <c r="I18" s="1">
        <f t="shared" si="0"/>
        <v>2</v>
      </c>
      <c r="J18" s="11"/>
    </row>
    <row r="19" spans="3:10">
      <c r="C19" s="8"/>
      <c r="D19" s="1" t="s">
        <v>48</v>
      </c>
      <c r="E19" s="9" t="s">
        <v>33</v>
      </c>
      <c r="F19" s="10"/>
      <c r="G19" s="9" t="s">
        <v>33</v>
      </c>
      <c r="I19" s="1">
        <f t="shared" si="0"/>
        <v>2</v>
      </c>
      <c r="J19" s="11"/>
    </row>
    <row r="20" spans="3:10">
      <c r="C20" s="8"/>
      <c r="D20" s="1" t="s">
        <v>49</v>
      </c>
      <c r="E20" s="9" t="s">
        <v>33</v>
      </c>
      <c r="F20" s="10"/>
      <c r="G20" s="9" t="s">
        <v>33</v>
      </c>
      <c r="I20" s="1">
        <f t="shared" si="0"/>
        <v>2</v>
      </c>
      <c r="J20" s="11"/>
    </row>
    <row r="21" spans="3:10">
      <c r="C21" s="8"/>
      <c r="D21" s="1" t="s">
        <v>50</v>
      </c>
      <c r="E21" s="9" t="s">
        <v>33</v>
      </c>
      <c r="F21" s="10"/>
      <c r="G21" s="9" t="s">
        <v>33</v>
      </c>
      <c r="I21" s="1">
        <f t="shared" si="0"/>
        <v>2</v>
      </c>
      <c r="J21" s="11"/>
    </row>
    <row r="22" spans="3:10">
      <c r="C22" s="8"/>
      <c r="D22" s="1" t="s">
        <v>51</v>
      </c>
      <c r="E22" s="9" t="s">
        <v>33</v>
      </c>
      <c r="F22" s="10"/>
      <c r="G22" s="9" t="s">
        <v>33</v>
      </c>
      <c r="I22" s="1">
        <f t="shared" si="0"/>
        <v>2</v>
      </c>
      <c r="J22" s="11"/>
    </row>
    <row r="23" spans="3:10">
      <c r="C23" s="12"/>
      <c r="D23" s="12"/>
      <c r="E23" s="12"/>
      <c r="F23" s="2"/>
      <c r="G23" s="12"/>
      <c r="H23" s="12"/>
      <c r="I23" s="12"/>
      <c r="J23" s="13"/>
    </row>
    <row r="24" spans="3:10">
      <c r="C24" s="8">
        <v>4</v>
      </c>
      <c r="D24" s="9" t="s">
        <v>52</v>
      </c>
      <c r="E24" s="9" t="s">
        <v>33</v>
      </c>
      <c r="F24" s="10"/>
      <c r="G24" s="9" t="s">
        <v>33</v>
      </c>
      <c r="I24" s="1">
        <f t="shared" si="0"/>
        <v>2</v>
      </c>
      <c r="J24" s="11"/>
    </row>
    <row r="25" spans="3:10">
      <c r="C25" s="8"/>
      <c r="D25" s="9" t="s">
        <v>53</v>
      </c>
      <c r="E25" s="9" t="s">
        <v>33</v>
      </c>
      <c r="F25" s="10"/>
      <c r="G25" s="9" t="s">
        <v>33</v>
      </c>
      <c r="I25" s="1">
        <f t="shared" si="0"/>
        <v>2</v>
      </c>
      <c r="J25" s="11">
        <v>2</v>
      </c>
    </row>
    <row r="26" spans="3:10">
      <c r="C26" s="8"/>
      <c r="D26" s="1" t="s">
        <v>54</v>
      </c>
      <c r="E26" s="9" t="s">
        <v>33</v>
      </c>
      <c r="F26" s="10"/>
      <c r="G26" s="9" t="s">
        <v>33</v>
      </c>
      <c r="I26" s="1">
        <f t="shared" si="0"/>
        <v>2</v>
      </c>
      <c r="J26" s="11"/>
    </row>
    <row r="27" spans="3:10">
      <c r="C27" s="8"/>
      <c r="D27" s="9" t="s">
        <v>55</v>
      </c>
      <c r="E27" s="9" t="s">
        <v>33</v>
      </c>
      <c r="F27" s="10"/>
      <c r="G27" s="9" t="s">
        <v>33</v>
      </c>
      <c r="I27" s="1">
        <f t="shared" si="0"/>
        <v>2</v>
      </c>
      <c r="J27" s="11">
        <v>2</v>
      </c>
    </row>
    <row r="28" spans="3:10">
      <c r="C28" s="8"/>
      <c r="D28" s="9" t="s">
        <v>56</v>
      </c>
      <c r="E28" s="9" t="s">
        <v>33</v>
      </c>
      <c r="F28" s="10"/>
      <c r="G28" s="9" t="s">
        <v>33</v>
      </c>
      <c r="I28" s="1">
        <f t="shared" si="0"/>
        <v>2</v>
      </c>
      <c r="J28" s="11"/>
    </row>
    <row r="29" spans="3:10">
      <c r="C29" s="12"/>
      <c r="D29" s="12"/>
      <c r="E29" s="12"/>
      <c r="F29" s="2"/>
      <c r="G29" s="12"/>
      <c r="H29" s="12"/>
      <c r="I29" s="12"/>
      <c r="J29" s="13"/>
    </row>
    <row r="30" spans="3:10">
      <c r="C30" s="8">
        <v>5</v>
      </c>
      <c r="D30" s="9" t="s">
        <v>57</v>
      </c>
      <c r="E30" s="9" t="s">
        <v>33</v>
      </c>
      <c r="F30" s="10"/>
      <c r="G30" s="9" t="s">
        <v>33</v>
      </c>
      <c r="I30" s="1">
        <f t="shared" si="0"/>
        <v>2</v>
      </c>
      <c r="J30" s="11"/>
    </row>
    <row r="31" spans="3:10">
      <c r="C31" s="8"/>
      <c r="D31" s="1" t="s">
        <v>58</v>
      </c>
      <c r="E31" s="9" t="s">
        <v>33</v>
      </c>
      <c r="F31" s="10"/>
      <c r="G31" s="9" t="s">
        <v>33</v>
      </c>
      <c r="I31" s="1">
        <f t="shared" si="0"/>
        <v>2</v>
      </c>
      <c r="J31" s="11"/>
    </row>
    <row r="32" spans="3:10">
      <c r="C32" s="8"/>
      <c r="D32" s="1" t="s">
        <v>59</v>
      </c>
      <c r="E32" s="9" t="s">
        <v>33</v>
      </c>
      <c r="F32" s="10"/>
      <c r="G32" s="9" t="s">
        <v>33</v>
      </c>
      <c r="I32" s="1">
        <f t="shared" si="0"/>
        <v>2</v>
      </c>
      <c r="J32" s="11"/>
    </row>
    <row r="33" spans="3:10">
      <c r="C33" s="8"/>
      <c r="D33" s="9" t="s">
        <v>60</v>
      </c>
      <c r="E33" s="9" t="s">
        <v>33</v>
      </c>
      <c r="F33" s="10"/>
      <c r="G33" s="9" t="s">
        <v>33</v>
      </c>
      <c r="I33" s="1">
        <f t="shared" si="0"/>
        <v>2</v>
      </c>
      <c r="J33" s="11"/>
    </row>
    <row r="34" spans="3:10">
      <c r="C34" s="8"/>
      <c r="D34" s="1" t="s">
        <v>61</v>
      </c>
      <c r="E34" s="9" t="s">
        <v>33</v>
      </c>
      <c r="F34" s="10"/>
      <c r="G34" s="9" t="s">
        <v>33</v>
      </c>
      <c r="I34" s="1">
        <f t="shared" si="0"/>
        <v>2</v>
      </c>
      <c r="J34" s="11"/>
    </row>
  </sheetData>
  <mergeCells count="5">
    <mergeCell ref="C6:C10"/>
    <mergeCell ref="C12:C16"/>
    <mergeCell ref="C18:C22"/>
    <mergeCell ref="C24:C28"/>
    <mergeCell ref="C30:C34"/>
  </mergeCells>
  <conditionalFormatting sqref="E1:G4 E6:G10 E12:G16 E18:G22 E24:G28 E30:G1048576">
    <cfRule type="expression" dxfId="1" priority="10">
      <formula>E1="Late"</formula>
    </cfRule>
    <cfRule type="expression" dxfId="2" priority="13">
      <formula>E1="Not Done"</formula>
    </cfRule>
    <cfRule type="expression" dxfId="3" priority="14">
      <formula>E1="Done"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The Team</vt:lpstr>
      <vt:lpstr>Week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Walid</dc:creator>
  <cp:lastModifiedBy>Rawan Abd El Hamied</cp:lastModifiedBy>
  <dcterms:created xsi:type="dcterms:W3CDTF">2025-12-21T01:30:00Z</dcterms:created>
  <dcterms:modified xsi:type="dcterms:W3CDTF">2026-08-08T18:58:29Z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378418FBBD0E46B28B9047D44E0B44F6_12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